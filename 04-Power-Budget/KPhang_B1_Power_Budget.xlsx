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457376a59a44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 Budget" sheetId="1" r:id="R6a41f1675c5c43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4">
    <x:font>
      <x:sz val="11"/>
      <x:name val="Carlito"/>
    </x:font>
    <x:font>
      <x:b/>
      <x:sz val="16"/>
      <x:color rgb="FFFFFF"/>
      <x:name val="Carlito"/>
    </x:font>
    <x:font>
      <x:i/>
      <x:sz val="11"/>
      <x:color rgb="333333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4472C4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9b0ccfb66942bc" /><Relationship Type="http://schemas.openxmlformats.org/officeDocument/2006/relationships/theme" Target="/xl/theme/theme1.xml" Id="Rc38b76993f894a9f" /><Relationship Type="http://schemas.openxmlformats.org/officeDocument/2006/relationships/sharedStrings" Target="/xl/sharedStrings.xml" Id="R1f68e61ecbfd4f1a" /><Relationship Type="http://schemas.openxmlformats.org/officeDocument/2006/relationships/worksheet" Target="/xl/worksheets/sheet1.xml" Id="R6a41f1675c5c43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8" hidden="0" customWidth="1"/>
    <x:col min="4" max="4" width="12" hidden="0" customWidth="1"/>
    <x:col min="5" max="5" width="16" hidden="0" customWidth="1"/>
    <x:col min="6" max="6" width="16" hidden="0" customWidth="1"/>
    <x:col min="7" max="7" width="12" hidden="0" customWidth="1"/>
    <x:col min="8" max="8" width="14" hidden="0" customWidth="1"/>
    <x:col min="9" max="9" width="46" hidden="0" customWidth="1"/>
  </x:cols>
  <x:sheetData>
    <x:row r="1" ht="26" customHeight="1">
      <x:c r="A1" s="24" t="str">
        <x:v>K Phang B1 Propulsion Power Budget - The Duck</x:v>
      </x:c>
      <x:c r="B1" s="24" t="str">
        <x:v>K Phang B1 Propulsion Power Budget - The Duck</x:v>
      </x:c>
      <x:c r="C1" s="24" t="str">
        <x:v>K Phang B1 Propulsion Power Budget - The Duck</x:v>
      </x:c>
      <x:c r="D1" s="24" t="str">
        <x:v>K Phang B1 Propulsion Power Budget - The Duck</x:v>
      </x:c>
      <x:c r="E1" s="24" t="str">
        <x:v>K Phang B1 Propulsion Power Budget - The Duck</x:v>
      </x:c>
      <x:c r="F1" s="24" t="str">
        <x:v>K Phang B1 Propulsion Power Budget - The Duck</x:v>
      </x:c>
      <x:c r="G1" s="24" t="str">
        <x:v>K Phang B1 Propulsion Power Budget - The Duck</x:v>
      </x:c>
      <x:c r="H1" s="24" t="str">
        <x:v>K Phang B1 Propulsion Power Budget - The Duck</x:v>
      </x:c>
      <x:c r="I1" s="24" t="str">
        <x:v>K Phang B1 Propulsion Power Budget - The Duck</x:v>
      </x:c>
    </x:row>
    <x:row r="2">
      <x:c r="A2" s="12" t="str">
        <x:v>Estimated final power budget for ESP32-based propulsion module. Values are estimates for report documentation, not final measured current data.</x:v>
      </x:c>
      <x:c r="B2" s="12" t="str">
        <x:v>Estimated final power budget for ESP32-based propulsion module. Values are estimates for report documentation, not final measured current data.</x:v>
      </x:c>
      <x:c r="C2" s="12" t="str">
        <x:v>Estimated final power budget for ESP32-based propulsion module. Values are estimates for report documentation, not final measured current data.</x:v>
      </x:c>
      <x:c r="D2" s="12" t="str">
        <x:v>Estimated final power budget for ESP32-based propulsion module. Values are estimates for report documentation, not final measured current data.</x:v>
      </x:c>
      <x:c r="E2" s="12" t="str">
        <x:v>Estimated final power budget for ESP32-based propulsion module. Values are estimates for report documentation, not final measured current data.</x:v>
      </x:c>
      <x:c r="F2" s="12" t="str">
        <x:v>Estimated final power budget for ESP32-based propulsion module. Values are estimates for report documentation, not final measured current data.</x:v>
      </x:c>
      <x:c r="G2" s="12" t="str">
        <x:v>Estimated final power budget for ESP32-based propulsion module. Values are estimates for report documentation, not final measured current data.</x:v>
      </x:c>
      <x:c r="H2" s="12" t="str">
        <x:v>Estimated final power budget for ESP32-based propulsion module. Values are estimates for report documentation, not final measured current data.</x:v>
      </x:c>
      <x:c r="I2" s="12" t="str">
        <x:v>Estimated final power budget for ESP32-based propulsion module. Values are estimates for report documentation, not final measured current data.</x:v>
      </x:c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</x:row>
    <x:row r="4">
      <x:c r="A4" s="26" t="str">
        <x:v>Assumption</x:v>
      </x:c>
      <x:c r="B4" s="26" t="str">
        <x:v>Value</x:v>
      </x:c>
      <x:c r="C4" s="26" t="str">
        <x:v>Unit</x:v>
      </x:c>
      <x:c r="D4" s="26" t="str">
        <x:v>Notes</x:v>
      </x:c>
      <x:c r="E4" s="25"/>
      <x:c r="F4" s="25"/>
      <x:c r="G4" s="25"/>
      <x:c r="H4" s="25"/>
      <x:c r="I4" s="25"/>
    </x:row>
    <x:row r="5">
      <x:c r="A5" s="25" t="str">
        <x:v>Input supply voltage</x:v>
      </x:c>
      <x:c r="B5" s="27" t="n">
        <x:v>12</x:v>
      </x:c>
      <x:c r="C5" s="25" t="str">
        <x:v>V</x:v>
      </x:c>
      <x:c r="D5" s="25" t="str">
        <x:v>Original design input rail</x:v>
      </x:c>
      <x:c r="E5" s="25"/>
      <x:c r="F5" s="25"/>
      <x:c r="G5" s="25"/>
      <x:c r="H5" s="25"/>
      <x:c r="I5" s="25"/>
    </x:row>
    <x:row r="6">
      <x:c r="A6" s="25" t="str">
        <x:v>Logic rail voltage</x:v>
      </x:c>
      <x:c r="B6" s="27" t="n">
        <x:v>3.3</x:v>
      </x:c>
      <x:c r="C6" s="25" t="str">
        <x:v>V</x:v>
      </x:c>
      <x:c r="D6" s="25" t="str">
        <x:v>For ESP32 and logic-side motor-driver power</x:v>
      </x:c>
      <x:c r="E6" s="25"/>
      <x:c r="F6" s="25"/>
      <x:c r="G6" s="25"/>
      <x:c r="H6" s="25"/>
      <x:c r="I6" s="25"/>
    </x:row>
    <x:row r="7">
      <x:c r="A7" s="25" t="str">
        <x:v>Motor rail voltage</x:v>
      </x:c>
      <x:c r="B7" s="27" t="n">
        <x:v>6</x:v>
      </x:c>
      <x:c r="C7" s="25" t="str">
        <x:v>V</x:v>
      </x:c>
      <x:c r="D7" s="25" t="str">
        <x:v>For propulsion motors</x:v>
      </x:c>
      <x:c r="E7" s="25"/>
      <x:c r="F7" s="25"/>
      <x:c r="G7" s="25"/>
      <x:c r="H7" s="25"/>
      <x:c r="I7" s="25"/>
    </x:row>
    <x:row r="8">
      <x:c r="A8" s="25" t="str">
        <x:v>3.3 V regulator capacity</x:v>
      </x:c>
      <x:c r="B8" s="27" t="n">
        <x:v>2</x:v>
      </x:c>
      <x:c r="C8" s="25" t="str">
        <x:v>A</x:v>
      </x:c>
      <x:c r="D8" s="25" t="str">
        <x:v>AP63203WU-7 maximum output current class</x:v>
      </x:c>
      <x:c r="E8" s="25"/>
      <x:c r="F8" s="25"/>
      <x:c r="G8" s="25"/>
      <x:c r="H8" s="25"/>
      <x:c r="I8" s="25"/>
    </x:row>
    <x:row r="9">
      <x:c r="A9" s="25" t="str">
        <x:v>6 V regulator capacity</x:v>
      </x:c>
      <x:c r="B9" s="27" t="n">
        <x:v>10</x:v>
      </x:c>
      <x:c r="C9" s="25" t="str">
        <x:v>A</x:v>
      </x:c>
      <x:c r="D9" s="25" t="str">
        <x:v>LMZ23610TZ/NOPB maximum output current class</x:v>
      </x:c>
      <x:c r="E9" s="25"/>
      <x:c r="F9" s="25"/>
      <x:c r="G9" s="25"/>
      <x:c r="H9" s="25"/>
      <x:c r="I9" s="25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</x:row>
    <x:row r="12">
      <x:c r="A12" s="26" t="str">
        <x:v>Rail</x:v>
      </x:c>
      <x:c r="B12" s="26" t="str">
        <x:v>Component / Load</x:v>
      </x:c>
      <x:c r="C12" s="26" t="str">
        <x:v>Qty</x:v>
      </x:c>
      <x:c r="D12" s="26" t="str">
        <x:v>Voltage (V)</x:v>
      </x:c>
      <x:c r="E12" s="26" t="str">
        <x:v>Current Each (A)</x:v>
      </x:c>
      <x:c r="F12" s="26" t="str">
        <x:v>Total Current (A)</x:v>
      </x:c>
      <x:c r="G12" s="26" t="str">
        <x:v>Power (W)</x:v>
      </x:c>
      <x:c r="H12" s="26" t="str">
        <x:v>Status</x:v>
      </x:c>
      <x:c r="I12" s="26" t="str">
        <x:v>Notes</x:v>
      </x:c>
    </x:row>
    <x:row r="13">
      <x:c r="A13" s="25" t="str">
        <x:v>3.3 V</x:v>
      </x:c>
      <x:c r="B13" s="25" t="str">
        <x:v>ESP32-S3-WROOM-1-N4</x:v>
      </x:c>
      <x:c r="C13" s="25" t="n">
        <x:v>1</x:v>
      </x:c>
      <x:c r="D13" s="28" t="n">
        <x:v>3.3</x:v>
      </x:c>
      <x:c r="E13" s="28" t="n">
        <x:v>0.24</x:v>
      </x:c>
      <x:c r="F13" s="28" t="n">
        <x:f>C13*E13</x:f>
        <x:v>0.24</x:v>
      </x:c>
      <x:c r="G13" s="28" t="n">
        <x:f>D13*F13</x:f>
        <x:v>0.7919999999999999</x:v>
      </x:c>
      <x:c r="H13" s="25" t="str">
        <x:v>Designed</x:v>
      </x:c>
      <x:c r="I13" s="25" t="str">
        <x:v>Controller logic load estimate</x:v>
      </x:c>
    </x:row>
    <x:row r="14">
      <x:c r="A14" s="25" t="str">
        <x:v>3.3 V</x:v>
      </x:c>
      <x:c r="B14" s="25" t="str">
        <x:v>TB67H450FNG logic side</x:v>
      </x:c>
      <x:c r="C14" s="25" t="n">
        <x:v>1</x:v>
      </x:c>
      <x:c r="D14" s="28" t="n">
        <x:v>3.3</x:v>
      </x:c>
      <x:c r="E14" s="28" t="n">
        <x:v>0.005</x:v>
      </x:c>
      <x:c r="F14" s="28" t="n">
        <x:f>C14*E14</x:f>
        <x:v>0.005</x:v>
      </x:c>
      <x:c r="G14" s="28" t="n">
        <x:f>D14*F14</x:f>
        <x:v>0.0165</x:v>
      </x:c>
      <x:c r="H14" s="25" t="str">
        <x:v>Designed</x:v>
      </x:c>
      <x:c r="I14" s="25" t="str">
        <x:v>Logic-side input current estimate</x:v>
      </x:c>
    </x:row>
    <x:row r="15">
      <x:c r="A15" s="25" t="str">
        <x:v>3.3 V</x:v>
      </x:c>
      <x:c r="B15" s="25" t="str">
        <x:v>Status LEDs</x:v>
      </x:c>
      <x:c r="C15" s="25" t="n">
        <x:v>2</x:v>
      </x:c>
      <x:c r="D15" s="28" t="n">
        <x:v>3.3</x:v>
      </x:c>
      <x:c r="E15" s="28" t="n">
        <x:v>0.005</x:v>
      </x:c>
      <x:c r="F15" s="28" t="n">
        <x:f>C15*E15</x:f>
        <x:v>0.01</x:v>
      </x:c>
      <x:c r="G15" s="28" t="n">
        <x:f>D15*F15</x:f>
        <x:v>0.033</x:v>
      </x:c>
      <x:c r="H15" s="25" t="str">
        <x:v>Designed</x:v>
      </x:c>
      <x:c r="I15" s="25" t="str">
        <x:v>Two small indicator LEDs</x:v>
      </x:c>
    </x:row>
    <x:row r="16">
      <x:c r="A16" s="25" t="str">
        <x:v>3.3 V</x:v>
      </x:c>
      <x:c r="B16" s="25" t="str">
        <x:v>UART/debug pullups and small logic</x:v>
      </x:c>
      <x:c r="C16" s="25" t="n">
        <x:v>1</x:v>
      </x:c>
      <x:c r="D16" s="28" t="n">
        <x:v>3.3</x:v>
      </x:c>
      <x:c r="E16" s="28" t="n">
        <x:v>0.01</x:v>
      </x:c>
      <x:c r="F16" s="28" t="n">
        <x:f>C16*E16</x:f>
        <x:v>0.01</x:v>
      </x:c>
      <x:c r="G16" s="28" t="n">
        <x:f>D16*F16</x:f>
        <x:v>0.033</x:v>
      </x:c>
      <x:c r="H16" s="25" t="str">
        <x:v>Designed</x:v>
      </x:c>
      <x:c r="I16" s="25" t="str">
        <x:v>Allowance for small logic/interface loads</x:v>
      </x:c>
    </x:row>
    <x:row r="17">
      <x:c r="A17" s="25" t="str">
        <x:v>6 V</x:v>
      </x:c>
      <x:c r="B17" s="25" t="str">
        <x:v>DC propulsion motor</x:v>
      </x:c>
      <x:c r="C17" s="25" t="n">
        <x:v>2</x:v>
      </x:c>
      <x:c r="D17" s="28" t="n">
        <x:v>6</x:v>
      </x:c>
      <x:c r="E17" s="28" t="n">
        <x:v>0.4</x:v>
      </x:c>
      <x:c r="F17" s="28" t="n">
        <x:f>C17*E17</x:f>
        <x:v>0.8</x:v>
      </x:c>
      <x:c r="G17" s="28" t="n">
        <x:f>D17*F17</x:f>
        <x:v>4.800000000000001</x:v>
      </x:c>
      <x:c r="H17" s="25" t="str">
        <x:v>Worked</x:v>
      </x:c>
      <x:c r="I17" s="25" t="str">
        <x:v>Estimated normal running current per motor</x:v>
      </x:c>
    </x:row>
    <x:row r="18">
      <x:c r="A18" s="25" t="str">
        <x:v>6 V</x:v>
      </x:c>
      <x:c r="B18" s="25" t="str">
        <x:v>Motor startup/stall allowance</x:v>
      </x:c>
      <x:c r="C18" s="25" t="n">
        <x:v>2</x:v>
      </x:c>
      <x:c r="D18" s="28" t="n">
        <x:v>6</x:v>
      </x:c>
      <x:c r="E18" s="28" t="n">
        <x:v>1.5</x:v>
      </x:c>
      <x:c r="F18" s="28" t="n">
        <x:f>C18*E18</x:f>
        <x:v>3</x:v>
      </x:c>
      <x:c r="G18" s="28" t="n">
        <x:f>D18*F18</x:f>
        <x:v>18</x:v>
      </x:c>
      <x:c r="H18" s="25" t="str">
        <x:v>Worst Case</x:v>
      </x:c>
      <x:c r="I18" s="25" t="str">
        <x:v>Conservative transient current estimate</x:v>
      </x:c>
    </x:row>
    <x:row r="19">
      <x:c r="A19" s="25" t="str">
        <x:v>6 V</x:v>
      </x:c>
      <x:c r="B19" s="25" t="str">
        <x:v>TB67H450FNG motor side</x:v>
      </x:c>
      <x:c r="C19" s="25" t="n">
        <x:v>1</x:v>
      </x:c>
      <x:c r="D19" s="28" t="n">
        <x:v>6</x:v>
      </x:c>
      <x:c r="E19" s="28" t="n">
        <x:v>0.02</x:v>
      </x:c>
      <x:c r="F19" s="28" t="n">
        <x:f>C19*E19</x:f>
        <x:v>0.02</x:v>
      </x:c>
      <x:c r="G19" s="28" t="n">
        <x:f>D19*F19</x:f>
        <x:v>0.12</x:v>
      </x:c>
      <x:c r="H19" s="25" t="str">
        <x:v>Worked</x:v>
      </x:c>
      <x:c r="I19" s="25" t="str">
        <x:v>Driver overhead estimate, motor current counted separately</x:v>
      </x:c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</x:row>
    <x:row r="22">
      <x:c r="A22" s="26" t="str">
        <x:v>Rail Summary</x:v>
      </x:c>
      <x:c r="B22" s="26" t="str">
        <x:v>Estimated Current (A)</x:v>
      </x:c>
      <x:c r="C22" s="26" t="str">
        <x:v>Available Current (A)</x:v>
      </x:c>
      <x:c r="D22" s="26" t="str">
        <x:v>Margin (A)</x:v>
      </x:c>
      <x:c r="E22" s="26" t="str">
        <x:v>Estimated Power (W)</x:v>
      </x:c>
      <x:c r="F22" s="26" t="str">
        <x:v>Final Test Result</x:v>
      </x:c>
      <x:c r="G22" s="25"/>
      <x:c r="H22" s="25"/>
      <x:c r="I22" s="25"/>
    </x:row>
    <x:row r="23">
      <x:c r="A23" s="25" t="str">
        <x:v>3.3 V logic rail</x:v>
      </x:c>
      <x:c r="B23" s="28" t="n">
        <x:f>SUMIF($A$13:$A$19,"3.3 V",$F$13:$F$19)</x:f>
        <x:v>0.265</x:v>
      </x:c>
      <x:c r="C23" s="28" t="n">
        <x:v>2</x:v>
      </x:c>
      <x:c r="D23" s="28" t="n">
        <x:f>C23-B23</x:f>
        <x:v>1.7349999999999999</x:v>
      </x:c>
      <x:c r="E23" s="28" t="n">
        <x:f>SUMIF($A$13:$A$19,"3.3 V",$G$13:$G$19)</x:f>
        <x:v>0.8744999999999999</x:v>
      </x:c>
      <x:c r="F23" s="25" t="str">
        <x:v>Did not work on final PCB due to regulator/layout issue</x:v>
      </x:c>
      <x:c r="G23" s="25"/>
      <x:c r="H23" s="25"/>
      <x:c r="I23" s="25"/>
    </x:row>
    <x:row r="24">
      <x:c r="A24" s="25" t="str">
        <x:v>6 V motor rail - normal running</x:v>
      </x:c>
      <x:c r="B24" s="28" t="n">
        <x:f>F17+F19</x:f>
        <x:v>0.8200000000000001</x:v>
      </x:c>
      <x:c r="C24" s="28" t="n">
        <x:v>10</x:v>
      </x:c>
      <x:c r="D24" s="28" t="n">
        <x:f>C24-B24</x:f>
        <x:v>9.18</x:v>
      </x:c>
      <x:c r="E24" s="28" t="n">
        <x:f>G17+G19</x:f>
        <x:v>4.920000000000001</x:v>
      </x:c>
      <x:c r="F24" s="25" t="str">
        <x:v>Worked and powered motors</x:v>
      </x:c>
      <x:c r="G24" s="25"/>
      <x:c r="H24" s="25"/>
      <x:c r="I24" s="25"/>
    </x:row>
    <x:row r="25">
      <x:c r="A25" s="25" t="str">
        <x:v>6 V motor rail - startup/stall case</x:v>
      </x:c>
      <x:c r="B25" s="28" t="n">
        <x:f>F18+F19</x:f>
        <x:v>3.02</x:v>
      </x:c>
      <x:c r="C25" s="28" t="n">
        <x:v>10</x:v>
      </x:c>
      <x:c r="D25" s="28" t="n">
        <x:f>C25-B25</x:f>
        <x:v>6.98</x:v>
      </x:c>
      <x:c r="E25" s="28" t="n">
        <x:f>G18+G19</x:f>
        <x:v>18.12</x:v>
      </x:c>
      <x:c r="F25" s="25" t="str">
        <x:v>Used as conservative design margin estimate</x:v>
      </x:c>
      <x:c r="G25" s="25"/>
      <x:c r="H25" s="25"/>
      <x:c r="I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</x:row>
    <x:row r="28">
      <x:c r="A28" s="26" t="str">
        <x:v>Final Conclusions</x:v>
      </x:c>
      <x:c r="B28" s="25"/>
      <x:c r="C28" s="25"/>
      <x:c r="D28" s="25"/>
      <x:c r="E28" s="25"/>
      <x:c r="F28" s="25"/>
      <x:c r="G28" s="25"/>
      <x:c r="H28" s="25"/>
      <x:c r="I28" s="25"/>
    </x:row>
    <x:row r="29">
      <x:c r="A29" s="25" t="str">
        <x:v>The 6 V motor rail had enough estimated current margin and worked on the final board.</x:v>
      </x:c>
      <x:c r="B29" s="25"/>
      <x:c r="C29" s="25"/>
      <x:c r="D29" s="25"/>
      <x:c r="E29" s="25"/>
      <x:c r="F29" s="25"/>
      <x:c r="G29" s="25"/>
      <x:c r="H29" s="25"/>
      <x:c r="I29" s="25"/>
    </x:row>
    <x:row r="30">
      <x:c r="A30" s="25" t="str">
        <x:v>The 3.3 V rail was architecturally necessary, but the final PCB implementation failed due to a regulator layout/routing issue.</x:v>
      </x:c>
      <x:c r="B30" s="25"/>
      <x:c r="C30" s="25"/>
      <x:c r="D30" s="25"/>
      <x:c r="E30" s="25"/>
      <x:c r="F30" s="25"/>
      <x:c r="G30" s="25"/>
      <x:c r="H30" s="25"/>
      <x:c r="I30" s="25"/>
    </x:row>
    <x:row r="31">
      <x:c r="A31" s="25" t="str">
        <x:v>The ESP32 was therefore tested with a breadboard/devkit while the PCB was used where possible for motor-power and driver testing.</x:v>
      </x:c>
      <x:c r="B31" s="25"/>
      <x:c r="C31" s="25"/>
      <x:c r="D31" s="25"/>
      <x:c r="E31" s="25"/>
      <x:c r="F31" s="25"/>
      <x:c r="G31" s="25"/>
      <x:c r="H31" s="25"/>
      <x:c r="I31" s="25"/>
    </x:row>
    <x:row r="32">
      <x:c r="A32" s="25" t="str">
        <x:v>Encoder feedback was not included in the final power budget as an active load because it was not used in the final implementation.</x:v>
      </x:c>
      <x:c r="B32" s="25"/>
      <x:c r="C32" s="25"/>
      <x:c r="D32" s="25"/>
      <x:c r="E32" s="25"/>
      <x:c r="F32" s="25"/>
      <x:c r="G32" s="25"/>
      <x:c r="H32" s="25"/>
      <x:c r="I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</x:row>
  </x:sheetData>
  <x:mergeCells>
    <x:mergeCell ref="A1:I1"/>
    <x:mergeCell ref="A2:I2"/>
  </x:mergeCells>
  <x:pageMargins left="0.7" right="0.7" top="0.75" bottom="0.75" header="0.3" footer="0.3"/>
</x:worksheet>
</file>