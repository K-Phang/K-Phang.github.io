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47629dd5d55b5c/Documents/B2 Propulsion/"/>
    </mc:Choice>
  </mc:AlternateContent>
  <xr:revisionPtr revIDLastSave="0" documentId="10_ncr:8_{7E76B05B-8AE2-4BA3-9680-EB98D4007037}" xr6:coauthVersionLast="47" xr6:coauthVersionMax="47" xr10:uidLastSave="{00000000-0000-0000-0000-000000000000}"/>
  <bookViews>
    <workbookView xWindow="-120" yWindow="-120" windowWidth="29040" windowHeight="15840" xr2:uid="{63E99AFE-0729-4623-A4B5-FFFA4A54ABAC}"/>
  </bookViews>
  <sheets>
    <sheet name="BOM_KPhang_Team201_EGR314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  <c r="L25" i="1" l="1"/>
</calcChain>
</file>

<file path=xl/sharedStrings.xml><?xml version="1.0" encoding="utf-8"?>
<sst xmlns="http://purl.oclc.org/ooxml/spreadsheetml/main" count="211" uniqueCount="146">
  <si>
    <t>GRM31CR71E106MA12K</t>
  </si>
  <si>
    <t>C2</t>
  </si>
  <si>
    <t>F1</t>
  </si>
  <si>
    <t>L1</t>
  </si>
  <si>
    <t>MPX1D1040L6R8</t>
  </si>
  <si>
    <t>LTST-C150GKT</t>
  </si>
  <si>
    <t>100SP3T1B1M2QE</t>
  </si>
  <si>
    <t>R1</t>
  </si>
  <si>
    <t>RC1206FR-07100RL</t>
  </si>
  <si>
    <t>R2</t>
  </si>
  <si>
    <t>SW1</t>
  </si>
  <si>
    <t>TL9320AF400QG</t>
  </si>
  <si>
    <t>U1</t>
  </si>
  <si>
    <t>LMZ23610TZ/NOPB</t>
  </si>
  <si>
    <t>U3</t>
  </si>
  <si>
    <t>AP63203WU-7</t>
  </si>
  <si>
    <t>Category</t>
  </si>
  <si>
    <t>RefDes / Item</t>
  </si>
  <si>
    <t>Qty on Board</t>
  </si>
  <si>
    <t>Include in Purchase Request</t>
  </si>
  <si>
    <t>Description</t>
  </si>
  <si>
    <t>Manufacturer</t>
  </si>
  <si>
    <t>MPN</t>
  </si>
  <si>
    <t>Vendor</t>
  </si>
  <si>
    <t>Vendor Link</t>
  </si>
  <si>
    <t>Unit Price</t>
  </si>
  <si>
    <t>Notes</t>
  </si>
  <si>
    <t>No Footprint</t>
  </si>
  <si>
    <t>JST crimp contacts</t>
  </si>
  <si>
    <t>Yes</t>
  </si>
  <si>
    <t>JST VH crimp contact for 12V cable assembly</t>
  </si>
  <si>
    <t>JST Sales America Inc.</t>
  </si>
  <si>
    <t>SVH-21T-1.1</t>
  </si>
  <si>
    <t>DigiKey</t>
  </si>
  <si>
    <t>https://www.digikey.com/en/products/detail/jst-sales-america-inc/SVH-21T-1-1/527366</t>
  </si>
  <si>
    <t>Cable-side part. Order extra contacts for crimping mistakes.</t>
  </si>
  <si>
    <t>JST 2-pos housing</t>
  </si>
  <si>
    <t>JST VH 2-position housing for 12V cable assembly</t>
  </si>
  <si>
    <t>VHR-2N</t>
  </si>
  <si>
    <t>https://www.digikey.com/en/products/detail/jst-sales-america-inc/VHR-2N/608624</t>
  </si>
  <si>
    <t>Cable-side mating housing.</t>
  </si>
  <si>
    <t>Protection</t>
  </si>
  <si>
    <t>5A cartridge fuse</t>
  </si>
  <si>
    <t>Littelfuse</t>
  </si>
  <si>
    <t>1 on board plus spares.</t>
  </si>
  <si>
    <t>Connector</t>
  </si>
  <si>
    <t>J1/J4/J5</t>
  </si>
  <si>
    <t>2-pin JST VH vertical PCB header</t>
  </si>
  <si>
    <t>B2PS-VH</t>
  </si>
  <si>
    <t>https://www.digikey.com/en/products/detail/jst-sales-america-inc/B2PS-VH/926555</t>
  </si>
  <si>
    <t>Used for 12V JST input and two motor headers.</t>
  </si>
  <si>
    <t>Indicator</t>
  </si>
  <si>
    <t>LED1</t>
  </si>
  <si>
    <t>Green 1206 LED</t>
  </si>
  <si>
    <t>Lite-On Inc.</t>
  </si>
  <si>
    <t>https://www.digikey.com/en/products/detail/lite-on-inc/LTST-C150GKT/269216</t>
  </si>
  <si>
    <t>Status LED.</t>
  </si>
  <si>
    <t>LED2</t>
  </si>
  <si>
    <t>Red 1206 LED</t>
  </si>
  <si>
    <t>LTST-C150EKT</t>
  </si>
  <si>
    <t>https://www.digikey.com/en/products/detail/liteon/LTST-C150EKT/269215</t>
  </si>
  <si>
    <t>Power</t>
  </si>
  <si>
    <t>12V to 3.3V buck converter</t>
  </si>
  <si>
    <t>Diodes Incorporated</t>
  </si>
  <si>
    <t>https://www.digikey.com/en/products/detail/diodes-incorporated/AP63203WU-7/9858426</t>
  </si>
  <si>
    <t>Main 3.3V regulator.</t>
  </si>
  <si>
    <t>12V to 6V power module</t>
  </si>
  <si>
    <t>Texas Instruments</t>
  </si>
  <si>
    <t>https://www.digikey.com/en/products/detail/texas-instruments/LMZ23610TZ-NOPB/2673196</t>
  </si>
  <si>
    <t>Motor and encoder supply.</t>
  </si>
  <si>
    <t>Motor Driver</t>
  </si>
  <si>
    <t>U4/U5</t>
  </si>
  <si>
    <t>Dual H-bridge motor driver</t>
  </si>
  <si>
    <t>Toshiba Semiconductor and Storage</t>
  </si>
  <si>
    <t>TB67H450FNG-EL</t>
  </si>
  <si>
    <t>https://www.digikey.com/en/products/detail/toshiba-semiconductor-and-storage/TB67H450FNG-EL/10130904</t>
  </si>
  <si>
    <t>One per motor.</t>
  </si>
  <si>
    <t>Fuse holder</t>
  </si>
  <si>
    <t>PCB fuse clip / holder</t>
  </si>
  <si>
    <t>Schurter Inc.</t>
  </si>
  <si>
    <t>3-143-050</t>
  </si>
  <si>
    <t>https://www.digikey.com/en/products/detail/schurter-inc/3-143-050/25659195</t>
  </si>
  <si>
    <t>Matches selected fuse format.</t>
  </si>
  <si>
    <t>Passive</t>
  </si>
  <si>
    <t>C1/C4</t>
  </si>
  <si>
    <t>10 uF 25V X7R 1206 capacitor</t>
  </si>
  <si>
    <t>Murata Electronics</t>
  </si>
  <si>
    <t>https://www.digikey.com/en/products/detail/murata-electronics/GRM31CR71E106MA12K/13904832</t>
  </si>
  <si>
    <t>Input capacitors. Order extras.</t>
  </si>
  <si>
    <t>100 uF 6.3V ceramic capacitor</t>
  </si>
  <si>
    <t>GRM31CD80J107MEA8L</t>
  </si>
  <si>
    <t>https://www.digikey.com/en/products/detail/murata-electronics/GRM31CD80J107MEA8L/13904781</t>
  </si>
  <si>
    <t>6V rail output capacitor.</t>
  </si>
  <si>
    <t>C3/C8/C9</t>
  </si>
  <si>
    <t>22 uF 1206 ceramic capacitor</t>
  </si>
  <si>
    <t>Würth Elektronik</t>
  </si>
  <si>
    <t>https://www.digikey.com/en/products/detail/w%C3%BCrth-elektronik/885012208019/5453421</t>
  </si>
  <si>
    <t>6V and 3.3V rail output capacitors.</t>
  </si>
  <si>
    <t>C5/C7/C12/C13</t>
  </si>
  <si>
    <t>0.1 uF 50V X7R 1206 capacitor</t>
  </si>
  <si>
    <t>Yageo</t>
  </si>
  <si>
    <t>CC1206JRX7R9BB104</t>
  </si>
  <si>
    <t>https://www.digikey.com/en/products/detail/yageo/CC1206JRX7R9BB104/2833600</t>
  </si>
  <si>
    <t>Bootstrap and local decoupling capacitors.</t>
  </si>
  <si>
    <t>J6/J7</t>
  </si>
  <si>
    <t>4-position motor/encoder header</t>
  </si>
  <si>
    <t>TE Connectivity AMP Connectors</t>
  </si>
  <si>
    <t>281695-4</t>
  </si>
  <si>
    <t>https://www.digikey.com/en/products/detail/te-connectivity-amp-connectors/281695-4/1150102</t>
  </si>
  <si>
    <t>Encoder headers.</t>
  </si>
  <si>
    <t>Switch</t>
  </si>
  <si>
    <t>Momentary tactile pushbutton</t>
  </si>
  <si>
    <t>E-Switch</t>
  </si>
  <si>
    <t>https://www.digikey.com/en/products/detail/e-switch/TL9320AF400QG/11698099</t>
  </si>
  <si>
    <t>Debug button.</t>
  </si>
  <si>
    <t>R3/R4</t>
  </si>
  <si>
    <t>100 ohm 1206 1% resistor</t>
  </si>
  <si>
    <t>https://www.digikey.com/en/products/detail/yageo/RC1206FR-07100RL/728491</t>
  </si>
  <si>
    <t>LED series resistors.</t>
  </si>
  <si>
    <t>R5/R6</t>
  </si>
  <si>
    <t>10 kOhm 1206 1% resistor</t>
  </si>
  <si>
    <t>RC1206FR-0710KL</t>
  </si>
  <si>
    <t>https://www.digikey.com/en/products/detail/yageo/RC1206FR-0710KL/728483</t>
  </si>
  <si>
    <t>Pull-up resistors for DEBUG_BTN and EN_ESP.</t>
  </si>
  <si>
    <t>6.49 kOhm 1206 1% resistor</t>
  </si>
  <si>
    <t>RC1206FR-076K49L</t>
  </si>
  <si>
    <t>https://www.digikey.com/en/products/detail/yageo/RC1206FR-076K49L/729022</t>
  </si>
  <si>
    <t>LMZ23610 feedback upper resistor for 6V output.</t>
  </si>
  <si>
    <t>1 kOhm 1206 resistor</t>
  </si>
  <si>
    <t>RC1206JR-071KP</t>
  </si>
  <si>
    <t>https://www.digikey.com/en/products/detail/yageo/RC1206JR-071KP/4935356</t>
  </si>
  <si>
    <t>LMZ23610 feedback lower resistor for 6V output.</t>
  </si>
  <si>
    <t>Magnetics</t>
  </si>
  <si>
    <t>6.8 uH power inductor</t>
  </si>
  <si>
    <t>KEMET</t>
  </si>
  <si>
    <t>Inductor for AP63203 buck regulator.</t>
  </si>
  <si>
    <t>Power source select</t>
  </si>
  <si>
    <t>SP3T source-select switch</t>
  </si>
  <si>
    <t>NKK Switches</t>
  </si>
  <si>
    <t>Switch to control power between barrel jack and shared power rail</t>
  </si>
  <si>
    <t>https://www.digikey.com/en/products/detail/e-switch/100SP3T1B1M2QE/3777888</t>
  </si>
  <si>
    <t>Order Qty</t>
  </si>
  <si>
    <t>Total Price</t>
  </si>
  <si>
    <t>Total</t>
  </si>
  <si>
    <t>0217005.MXP</t>
  </si>
  <si>
    <t>https://www.digikey.com/en/products/detail/littelfuse-inc/0217005-MXP/777549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</si>
</sst>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www.digikey.com/en/products/detail/littelfuse-inc/0217005-MXP/777549" TargetMode="External"/><Relationship Id="rId13" Type="http://purl.oclc.org/ooxml/officeDocument/relationships/hyperlink" Target="https://www.digikey.com/en/products/detail/murata-electronics/GRM31CD80J107MEA8L/13904781" TargetMode="External"/><Relationship Id="rId18" Type="http://purl.oclc.org/ooxml/officeDocument/relationships/hyperlink" Target="https://www.digikey.com/en/products/detail/yageo/RC1206FR-07100RL/728491" TargetMode="External"/><Relationship Id="rId3" Type="http://purl.oclc.org/ooxml/officeDocument/relationships/hyperlink" Target="https://www.digikey.com/en/products/detail/jst-sales-america-inc/B2PS-VH/926555" TargetMode="External"/><Relationship Id="rId21" Type="http://purl.oclc.org/ooxml/officeDocument/relationships/hyperlink" Target="https://www.digikey.com/en/products/detail/yageo/RC1206JR-071KP/4935356" TargetMode="External"/><Relationship Id="rId7" Type="http://purl.oclc.org/ooxml/officeDocument/relationships/hyperlink" Target="https://www.digikey.com/en/products/detail/diodes-incorporated/AP63203WU-7/9858426" TargetMode="External"/><Relationship Id="rId12" Type="http://purl.oclc.org/ooxml/officeDocument/relationships/hyperlink" Target="https://www.digikey.com/en/products/detail/murata-electronics/GRM31CR71E106MA12K/13904832" TargetMode="External"/><Relationship Id="rId17" Type="http://purl.oclc.org/ooxml/officeDocument/relationships/hyperlink" Target="https://www.digikey.com/en/products/detail/e-switch/TL9320AF400QG/11698099" TargetMode="External"/><Relationship Id="rId2" Type="http://purl.oclc.org/ooxml/officeDocument/relationships/hyperlink" Target="https://www.digikey.com/en/products/detail/jst-sales-america-inc/VHR-2N/608624" TargetMode="External"/><Relationship Id="rId16" Type="http://purl.oclc.org/ooxml/officeDocument/relationships/hyperlink" Target="https://www.digikey.com/en/products/detail/te-connectivity-amp-connectors/281695-4/1150102" TargetMode="External"/><Relationship Id="rId20" Type="http://purl.oclc.org/ooxml/officeDocument/relationships/hyperlink" Target="https://www.digikey.com/en/products/detail/yageo/RC1206FR-076K49L/729022" TargetMode="External"/><Relationship Id="rId1" Type="http://purl.oclc.org/ooxml/officeDocument/relationships/hyperlink" Target="https://www.digikey.com/en/products/detail/jst-sales-america-inc/SVH-21T-1-1/527366" TargetMode="External"/><Relationship Id="rId6" Type="http://purl.oclc.org/ooxml/officeDocument/relationships/hyperlink" Target="https://www.digikey.com/en/products/detail/diodes-incorporated/AP63203WU-7/9858426" TargetMode="External"/><Relationship Id="rId11" Type="http://purl.oclc.org/ooxml/officeDocument/relationships/hyperlink" Target="https://www.digikey.com/en/products/detail/schurter-inc/3-143-050/25659195" TargetMode="External"/><Relationship Id="rId5" Type="http://purl.oclc.org/ooxml/officeDocument/relationships/hyperlink" Target="https://www.digikey.com/en/products/detail/liteon/LTST-C150EKT/269215" TargetMode="External"/><Relationship Id="rId15" Type="http://purl.oclc.org/ooxml/officeDocument/relationships/hyperlink" Target="https://www.digikey.com/en/products/detail/yageo/CC1206JRX7R9BB104/2833600" TargetMode="External"/><Relationship Id="rId10" Type="http://purl.oclc.org/ooxml/officeDocument/relationships/hyperlink" Target="https://www.digikey.com/en/products/detail/toshiba-semiconductor-and-storage/TB67H450FNG-EL/10130904" TargetMode="External"/><Relationship Id="rId19" Type="http://purl.oclc.org/ooxml/officeDocument/relationships/hyperlink" Target="https://www.digikey.com/en/products/detail/yageo/RC1206FR-0710KL/728483" TargetMode="External"/><Relationship Id="rId4" Type="http://purl.oclc.org/ooxml/officeDocument/relationships/hyperlink" Target="https://www.digikey.com/en/products/detail/lite-on-inc/LTST-C150GKT/269216" TargetMode="External"/><Relationship Id="rId9" Type="http://purl.oclc.org/ooxml/officeDocument/relationships/hyperlink" Target="https://www.digikey.com/en/products/detail/texas-instruments/LMZ23610TZ-NOPB/2673196" TargetMode="External"/><Relationship Id="rId14" Type="http://purl.oclc.org/ooxml/officeDocument/relationships/hyperlink" Target="https://www.digikey.com/en/products/detail/w%C3%BCrth-elektronik/885012208019/5453421" TargetMode="External"/><Relationship Id="rId22" Type="http://purl.oclc.org/ooxml/officeDocument/relationships/hyperlink" Target="https://www.digikey.com/en/products/detail/e-switch/100SP3T1B1M2QE/3777888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AB1C-E065-4A42-B021-C6A962E077FB}">
  <dimension ref="A1:M25"/>
  <sheetViews>
    <sheetView tabSelected="1" workbookViewId="0">
      <selection activeCell="D27" sqref="D27"/>
    </sheetView>
  </sheetViews>
  <sheetFormatPr defaultRowHeight="15" x14ac:dyDescent="0.25"/>
  <cols>
    <col min="2" max="2" width="17.85546875" customWidth="1"/>
    <col min="3" max="3" width="13.140625" customWidth="1"/>
    <col min="4" max="4" width="18.28515625" customWidth="1"/>
    <col min="5" max="7" width="18.5703125" customWidth="1"/>
    <col min="8" max="8" width="18.42578125" customWidth="1"/>
    <col min="10" max="10" width="100.140625" bestFit="1" customWidth="1"/>
  </cols>
  <sheetData>
    <row r="1" spans="1:13" x14ac:dyDescent="0.25">
      <c r="A1" t="s">
        <v>16</v>
      </c>
      <c r="B1" t="s">
        <v>17</v>
      </c>
      <c r="C1" t="s">
        <v>18</v>
      </c>
      <c r="D1" t="s">
        <v>141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142</v>
      </c>
      <c r="M1" t="s">
        <v>26</v>
      </c>
    </row>
    <row r="2" spans="1:13" x14ac:dyDescent="0.25">
      <c r="A2" t="s">
        <v>27</v>
      </c>
      <c r="B2" t="s">
        <v>28</v>
      </c>
      <c r="C2">
        <v>2</v>
      </c>
      <c r="D2">
        <v>10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1" t="s">
        <v>34</v>
      </c>
      <c r="K2">
        <v>6.4000000000000001E-2</v>
      </c>
      <c r="L2">
        <f>D2*K2</f>
        <v>0.64</v>
      </c>
      <c r="M2" t="s">
        <v>35</v>
      </c>
    </row>
    <row r="3" spans="1:13" x14ac:dyDescent="0.25">
      <c r="A3" t="s">
        <v>27</v>
      </c>
      <c r="B3" t="s">
        <v>36</v>
      </c>
      <c r="C3">
        <v>1</v>
      </c>
      <c r="D3">
        <v>10</v>
      </c>
      <c r="E3" t="s">
        <v>29</v>
      </c>
      <c r="F3" t="s">
        <v>37</v>
      </c>
      <c r="G3" t="s">
        <v>31</v>
      </c>
      <c r="H3" t="s">
        <v>38</v>
      </c>
      <c r="I3" t="s">
        <v>33</v>
      </c>
      <c r="J3" s="1" t="s">
        <v>39</v>
      </c>
      <c r="K3">
        <v>7.2999999999999995E-2</v>
      </c>
      <c r="L3">
        <f t="shared" ref="L3:L23" si="0">D3*K3</f>
        <v>0.73</v>
      </c>
      <c r="M3" t="s">
        <v>40</v>
      </c>
    </row>
    <row r="4" spans="1:13" x14ac:dyDescent="0.25">
      <c r="A4" t="s">
        <v>41</v>
      </c>
      <c r="B4" t="s">
        <v>2</v>
      </c>
      <c r="C4">
        <v>1</v>
      </c>
      <c r="D4">
        <v>5</v>
      </c>
      <c r="E4" t="s">
        <v>29</v>
      </c>
      <c r="F4" t="s">
        <v>42</v>
      </c>
      <c r="G4" t="s">
        <v>43</v>
      </c>
      <c r="H4" t="s">
        <v>144</v>
      </c>
      <c r="I4" t="s">
        <v>33</v>
      </c>
      <c r="J4" s="1" t="s">
        <v>145</v>
      </c>
      <c r="K4">
        <v>0.436</v>
      </c>
      <c r="L4">
        <f t="shared" si="0"/>
        <v>2.1800000000000002</v>
      </c>
      <c r="M4" t="s">
        <v>44</v>
      </c>
    </row>
    <row r="5" spans="1:13" x14ac:dyDescent="0.25">
      <c r="A5" t="s">
        <v>45</v>
      </c>
      <c r="B5" t="s">
        <v>46</v>
      </c>
      <c r="C5">
        <v>3</v>
      </c>
      <c r="D5">
        <v>5</v>
      </c>
      <c r="E5" t="s">
        <v>29</v>
      </c>
      <c r="F5" t="s">
        <v>47</v>
      </c>
      <c r="G5" t="s">
        <v>31</v>
      </c>
      <c r="H5" t="s">
        <v>48</v>
      </c>
      <c r="I5" t="s">
        <v>33</v>
      </c>
      <c r="J5" s="1" t="s">
        <v>49</v>
      </c>
      <c r="K5">
        <v>0.16</v>
      </c>
      <c r="L5">
        <f t="shared" si="0"/>
        <v>0.8</v>
      </c>
      <c r="M5" t="s">
        <v>50</v>
      </c>
    </row>
    <row r="6" spans="1:13" x14ac:dyDescent="0.25">
      <c r="A6" t="s">
        <v>51</v>
      </c>
      <c r="B6" t="s">
        <v>52</v>
      </c>
      <c r="C6">
        <v>1</v>
      </c>
      <c r="D6">
        <v>3</v>
      </c>
      <c r="E6" t="s">
        <v>29</v>
      </c>
      <c r="F6" t="s">
        <v>53</v>
      </c>
      <c r="G6" t="s">
        <v>54</v>
      </c>
      <c r="H6" t="s">
        <v>5</v>
      </c>
      <c r="I6" t="s">
        <v>33</v>
      </c>
      <c r="J6" s="1" t="s">
        <v>55</v>
      </c>
      <c r="K6">
        <v>0.15</v>
      </c>
      <c r="L6">
        <f t="shared" si="0"/>
        <v>0.44999999999999996</v>
      </c>
      <c r="M6" t="s">
        <v>56</v>
      </c>
    </row>
    <row r="7" spans="1:13" x14ac:dyDescent="0.25">
      <c r="A7" t="s">
        <v>51</v>
      </c>
      <c r="B7" t="s">
        <v>57</v>
      </c>
      <c r="C7">
        <v>1</v>
      </c>
      <c r="D7">
        <v>3</v>
      </c>
      <c r="E7" t="s">
        <v>29</v>
      </c>
      <c r="F7" t="s">
        <v>58</v>
      </c>
      <c r="G7" t="s">
        <v>54</v>
      </c>
      <c r="H7" t="s">
        <v>59</v>
      </c>
      <c r="I7" t="s">
        <v>33</v>
      </c>
      <c r="J7" s="1" t="s">
        <v>60</v>
      </c>
      <c r="K7">
        <v>0.13</v>
      </c>
      <c r="L7">
        <f t="shared" si="0"/>
        <v>0.39</v>
      </c>
      <c r="M7" t="s">
        <v>56</v>
      </c>
    </row>
    <row r="8" spans="1:13" x14ac:dyDescent="0.25">
      <c r="A8" t="s">
        <v>61</v>
      </c>
      <c r="B8" t="s">
        <v>14</v>
      </c>
      <c r="C8">
        <v>1</v>
      </c>
      <c r="D8">
        <v>2</v>
      </c>
      <c r="E8" t="s">
        <v>29</v>
      </c>
      <c r="F8" t="s">
        <v>62</v>
      </c>
      <c r="G8" t="s">
        <v>63</v>
      </c>
      <c r="H8" t="s">
        <v>15</v>
      </c>
      <c r="I8" t="s">
        <v>33</v>
      </c>
      <c r="J8" s="1" t="s">
        <v>64</v>
      </c>
      <c r="K8">
        <v>0.71</v>
      </c>
      <c r="L8">
        <f t="shared" si="0"/>
        <v>1.42</v>
      </c>
      <c r="M8" t="s">
        <v>65</v>
      </c>
    </row>
    <row r="9" spans="1:13" x14ac:dyDescent="0.25">
      <c r="A9" t="s">
        <v>61</v>
      </c>
      <c r="B9" t="s">
        <v>12</v>
      </c>
      <c r="C9">
        <v>1</v>
      </c>
      <c r="D9">
        <v>1</v>
      </c>
      <c r="E9" t="s">
        <v>29</v>
      </c>
      <c r="F9" t="s">
        <v>66</v>
      </c>
      <c r="G9" t="s">
        <v>67</v>
      </c>
      <c r="H9" t="s">
        <v>13</v>
      </c>
      <c r="I9" t="s">
        <v>33</v>
      </c>
      <c r="J9" s="1" t="s">
        <v>68</v>
      </c>
      <c r="K9">
        <v>31.11</v>
      </c>
      <c r="L9">
        <f t="shared" si="0"/>
        <v>31.11</v>
      </c>
      <c r="M9" t="s">
        <v>69</v>
      </c>
    </row>
    <row r="10" spans="1:13" x14ac:dyDescent="0.25">
      <c r="A10" t="s">
        <v>70</v>
      </c>
      <c r="B10" t="s">
        <v>71</v>
      </c>
      <c r="C10">
        <v>2</v>
      </c>
      <c r="D10">
        <v>3</v>
      </c>
      <c r="E10" t="s">
        <v>29</v>
      </c>
      <c r="F10" t="s">
        <v>72</v>
      </c>
      <c r="G10" t="s">
        <v>73</v>
      </c>
      <c r="H10" t="s">
        <v>74</v>
      </c>
      <c r="I10" t="s">
        <v>33</v>
      </c>
      <c r="J10" s="1" t="s">
        <v>75</v>
      </c>
      <c r="K10">
        <v>1.29</v>
      </c>
      <c r="L10">
        <f t="shared" si="0"/>
        <v>3.87</v>
      </c>
      <c r="M10" t="s">
        <v>76</v>
      </c>
    </row>
    <row r="11" spans="1:13" x14ac:dyDescent="0.25">
      <c r="A11" t="s">
        <v>41</v>
      </c>
      <c r="B11" t="s">
        <v>77</v>
      </c>
      <c r="C11">
        <v>1</v>
      </c>
      <c r="D11">
        <v>2</v>
      </c>
      <c r="E11" t="s">
        <v>29</v>
      </c>
      <c r="F11" t="s">
        <v>78</v>
      </c>
      <c r="G11" t="s">
        <v>79</v>
      </c>
      <c r="H11" t="s">
        <v>80</v>
      </c>
      <c r="I11" t="s">
        <v>33</v>
      </c>
      <c r="J11" s="1" t="s">
        <v>81</v>
      </c>
      <c r="K11">
        <v>2.31</v>
      </c>
      <c r="L11">
        <f t="shared" si="0"/>
        <v>4.62</v>
      </c>
      <c r="M11" t="s">
        <v>82</v>
      </c>
    </row>
    <row r="12" spans="1:13" x14ac:dyDescent="0.25">
      <c r="A12" t="s">
        <v>83</v>
      </c>
      <c r="B12" t="s">
        <v>84</v>
      </c>
      <c r="C12">
        <v>2</v>
      </c>
      <c r="D12">
        <v>10</v>
      </c>
      <c r="E12" t="s">
        <v>29</v>
      </c>
      <c r="F12" t="s">
        <v>85</v>
      </c>
      <c r="G12" t="s">
        <v>86</v>
      </c>
      <c r="H12" t="s">
        <v>0</v>
      </c>
      <c r="I12" t="s">
        <v>33</v>
      </c>
      <c r="J12" s="1" t="s">
        <v>87</v>
      </c>
      <c r="K12">
        <v>0.17899999999999999</v>
      </c>
      <c r="L12">
        <f t="shared" si="0"/>
        <v>1.79</v>
      </c>
      <c r="M12" t="s">
        <v>88</v>
      </c>
    </row>
    <row r="13" spans="1:13" x14ac:dyDescent="0.25">
      <c r="A13" t="s">
        <v>83</v>
      </c>
      <c r="B13" t="s">
        <v>1</v>
      </c>
      <c r="C13">
        <v>1</v>
      </c>
      <c r="D13">
        <v>3</v>
      </c>
      <c r="E13" t="s">
        <v>29</v>
      </c>
      <c r="F13" t="s">
        <v>89</v>
      </c>
      <c r="G13" t="s">
        <v>86</v>
      </c>
      <c r="H13" t="s">
        <v>90</v>
      </c>
      <c r="I13" t="s">
        <v>33</v>
      </c>
      <c r="J13" s="1" t="s">
        <v>91</v>
      </c>
      <c r="K13">
        <v>0.42</v>
      </c>
      <c r="L13">
        <f t="shared" si="0"/>
        <v>1.26</v>
      </c>
      <c r="M13" t="s">
        <v>92</v>
      </c>
    </row>
    <row r="14" spans="1:13" x14ac:dyDescent="0.25">
      <c r="A14" t="s">
        <v>83</v>
      </c>
      <c r="B14" t="s">
        <v>93</v>
      </c>
      <c r="C14">
        <v>3</v>
      </c>
      <c r="D14">
        <v>10</v>
      </c>
      <c r="E14" t="s">
        <v>29</v>
      </c>
      <c r="F14" t="s">
        <v>94</v>
      </c>
      <c r="G14" t="s">
        <v>95</v>
      </c>
      <c r="H14">
        <v>885012208019</v>
      </c>
      <c r="I14" t="s">
        <v>33</v>
      </c>
      <c r="J14" s="1" t="s">
        <v>96</v>
      </c>
      <c r="K14">
        <v>0.44400000000000001</v>
      </c>
      <c r="L14">
        <f t="shared" si="0"/>
        <v>4.4400000000000004</v>
      </c>
      <c r="M14" t="s">
        <v>97</v>
      </c>
    </row>
    <row r="15" spans="1:13" x14ac:dyDescent="0.25">
      <c r="A15" t="s">
        <v>83</v>
      </c>
      <c r="B15" t="s">
        <v>98</v>
      </c>
      <c r="C15">
        <v>4</v>
      </c>
      <c r="D15">
        <v>12</v>
      </c>
      <c r="E15" t="s">
        <v>29</v>
      </c>
      <c r="F15" t="s">
        <v>99</v>
      </c>
      <c r="G15" t="s">
        <v>100</v>
      </c>
      <c r="H15" t="s">
        <v>101</v>
      </c>
      <c r="I15" t="s">
        <v>33</v>
      </c>
      <c r="J15" s="1" t="s">
        <v>102</v>
      </c>
      <c r="K15">
        <v>0.112</v>
      </c>
      <c r="L15">
        <f t="shared" si="0"/>
        <v>1.3440000000000001</v>
      </c>
      <c r="M15" t="s">
        <v>103</v>
      </c>
    </row>
    <row r="16" spans="1:13" x14ac:dyDescent="0.25">
      <c r="A16" t="s">
        <v>45</v>
      </c>
      <c r="B16" t="s">
        <v>104</v>
      </c>
      <c r="C16">
        <v>2</v>
      </c>
      <c r="D16">
        <v>4</v>
      </c>
      <c r="E16" t="s">
        <v>29</v>
      </c>
      <c r="F16" t="s">
        <v>105</v>
      </c>
      <c r="G16" t="s">
        <v>106</v>
      </c>
      <c r="H16" t="s">
        <v>107</v>
      </c>
      <c r="I16" t="s">
        <v>33</v>
      </c>
      <c r="J16" s="1" t="s">
        <v>108</v>
      </c>
      <c r="K16">
        <v>1.01</v>
      </c>
      <c r="L16">
        <f t="shared" si="0"/>
        <v>4.04</v>
      </c>
      <c r="M16" t="s">
        <v>109</v>
      </c>
    </row>
    <row r="17" spans="1:13" x14ac:dyDescent="0.25">
      <c r="A17" t="s">
        <v>110</v>
      </c>
      <c r="B17" t="s">
        <v>10</v>
      </c>
      <c r="C17">
        <v>1</v>
      </c>
      <c r="D17">
        <v>3</v>
      </c>
      <c r="E17" t="s">
        <v>29</v>
      </c>
      <c r="F17" t="s">
        <v>111</v>
      </c>
      <c r="G17" t="s">
        <v>112</v>
      </c>
      <c r="H17" t="s">
        <v>11</v>
      </c>
      <c r="I17" t="s">
        <v>33</v>
      </c>
      <c r="J17" s="1" t="s">
        <v>113</v>
      </c>
      <c r="K17">
        <v>0.9</v>
      </c>
      <c r="L17">
        <f t="shared" si="0"/>
        <v>2.7</v>
      </c>
      <c r="M17" t="s">
        <v>114</v>
      </c>
    </row>
    <row r="18" spans="1:13" x14ac:dyDescent="0.25">
      <c r="A18" t="s">
        <v>83</v>
      </c>
      <c r="B18" t="s">
        <v>115</v>
      </c>
      <c r="C18">
        <v>2</v>
      </c>
      <c r="D18">
        <v>10</v>
      </c>
      <c r="E18" t="s">
        <v>29</v>
      </c>
      <c r="F18" t="s">
        <v>116</v>
      </c>
      <c r="G18" t="s">
        <v>100</v>
      </c>
      <c r="H18" t="s">
        <v>8</v>
      </c>
      <c r="I18" t="s">
        <v>33</v>
      </c>
      <c r="J18" s="1" t="s">
        <v>117</v>
      </c>
      <c r="K18">
        <v>1.7000000000000001E-2</v>
      </c>
      <c r="L18">
        <f t="shared" si="0"/>
        <v>0.17</v>
      </c>
      <c r="M18" t="s">
        <v>118</v>
      </c>
    </row>
    <row r="19" spans="1:13" x14ac:dyDescent="0.25">
      <c r="A19" t="s">
        <v>83</v>
      </c>
      <c r="B19" t="s">
        <v>119</v>
      </c>
      <c r="C19">
        <v>2</v>
      </c>
      <c r="D19">
        <v>10</v>
      </c>
      <c r="E19" t="s">
        <v>29</v>
      </c>
      <c r="F19" t="s">
        <v>120</v>
      </c>
      <c r="G19" t="s">
        <v>100</v>
      </c>
      <c r="H19" t="s">
        <v>121</v>
      </c>
      <c r="I19" t="s">
        <v>33</v>
      </c>
      <c r="J19" s="1" t="s">
        <v>122</v>
      </c>
      <c r="K19">
        <v>1.7000000000000001E-2</v>
      </c>
      <c r="L19">
        <f t="shared" si="0"/>
        <v>0.17</v>
      </c>
      <c r="M19" t="s">
        <v>123</v>
      </c>
    </row>
    <row r="20" spans="1:13" x14ac:dyDescent="0.25">
      <c r="A20" t="s">
        <v>83</v>
      </c>
      <c r="B20" t="s">
        <v>7</v>
      </c>
      <c r="C20">
        <v>1</v>
      </c>
      <c r="D20">
        <v>10</v>
      </c>
      <c r="E20" t="s">
        <v>29</v>
      </c>
      <c r="F20" t="s">
        <v>124</v>
      </c>
      <c r="G20" t="s">
        <v>100</v>
      </c>
      <c r="H20" t="s">
        <v>125</v>
      </c>
      <c r="I20" t="s">
        <v>33</v>
      </c>
      <c r="J20" s="1" t="s">
        <v>126</v>
      </c>
      <c r="K20">
        <v>1.0999999999999999E-2</v>
      </c>
      <c r="L20">
        <f t="shared" si="0"/>
        <v>0.10999999999999999</v>
      </c>
      <c r="M20" t="s">
        <v>127</v>
      </c>
    </row>
    <row r="21" spans="1:13" x14ac:dyDescent="0.25">
      <c r="A21" t="s">
        <v>83</v>
      </c>
      <c r="B21" t="s">
        <v>9</v>
      </c>
      <c r="C21">
        <v>1</v>
      </c>
      <c r="D21">
        <v>10</v>
      </c>
      <c r="E21" t="s">
        <v>29</v>
      </c>
      <c r="F21" t="s">
        <v>128</v>
      </c>
      <c r="G21" t="s">
        <v>100</v>
      </c>
      <c r="H21" t="s">
        <v>129</v>
      </c>
      <c r="I21" t="s">
        <v>33</v>
      </c>
      <c r="J21" s="1" t="s">
        <v>130</v>
      </c>
      <c r="K21">
        <v>0.02</v>
      </c>
      <c r="L21">
        <f t="shared" si="0"/>
        <v>0.2</v>
      </c>
      <c r="M21" t="s">
        <v>131</v>
      </c>
    </row>
    <row r="22" spans="1:13" x14ac:dyDescent="0.25">
      <c r="A22" t="s">
        <v>132</v>
      </c>
      <c r="B22" t="s">
        <v>3</v>
      </c>
      <c r="C22">
        <v>1</v>
      </c>
      <c r="D22">
        <v>3</v>
      </c>
      <c r="E22" t="s">
        <v>29</v>
      </c>
      <c r="F22" t="s">
        <v>133</v>
      </c>
      <c r="G22" t="s">
        <v>134</v>
      </c>
      <c r="H22" t="s">
        <v>4</v>
      </c>
      <c r="I22" t="s">
        <v>33</v>
      </c>
      <c r="J22" s="1" t="s">
        <v>64</v>
      </c>
      <c r="K22">
        <v>0.71</v>
      </c>
      <c r="L22">
        <f t="shared" si="0"/>
        <v>2.13</v>
      </c>
      <c r="M22" t="s">
        <v>135</v>
      </c>
    </row>
    <row r="23" spans="1:13" x14ac:dyDescent="0.25">
      <c r="A23" t="s">
        <v>110</v>
      </c>
      <c r="B23" t="s">
        <v>136</v>
      </c>
      <c r="C23">
        <v>1</v>
      </c>
      <c r="D23">
        <v>2</v>
      </c>
      <c r="E23" t="s">
        <v>29</v>
      </c>
      <c r="F23" t="s">
        <v>137</v>
      </c>
      <c r="G23" t="s">
        <v>138</v>
      </c>
      <c r="H23" t="s">
        <v>6</v>
      </c>
      <c r="I23" t="s">
        <v>33</v>
      </c>
      <c r="J23" s="1" t="s">
        <v>140</v>
      </c>
      <c r="K23">
        <v>2.95</v>
      </c>
      <c r="L23">
        <f t="shared" si="0"/>
        <v>5.9</v>
      </c>
      <c r="M23" t="s">
        <v>139</v>
      </c>
    </row>
    <row r="25" spans="1:13" x14ac:dyDescent="0.25">
      <c r="K25" t="s">
        <v>143</v>
      </c>
      <c r="L25">
        <f>SUM(L2:L23)</f>
        <v>70.463999999999999</v>
      </c>
    </row>
  </sheetData>
  <hyperlinks>
    <hyperlink ref="J2" r:id="rId1" xr:uid="{0A073E5D-0E81-4AF4-874D-C79424D84C16}"/>
    <hyperlink ref="J3" r:id="rId2" xr:uid="{8C2D473A-16DB-4A0F-95B1-EEEB9EFD5F37}"/>
    <hyperlink ref="J5" r:id="rId3" xr:uid="{BFAA19AC-35E5-4FCB-ADFE-464975431D9D}"/>
    <hyperlink ref="J6" r:id="rId4" xr:uid="{B5927979-BA3B-4701-9851-33017EA9B0F6}"/>
    <hyperlink ref="J7" r:id="rId5" xr:uid="{6BC27D97-E2D6-4DA2-920B-B5970DCD2E08}"/>
    <hyperlink ref="J8" r:id="rId6" xr:uid="{7E223340-5212-4350-8583-8B21B8880A94}"/>
    <hyperlink ref="J22" r:id="rId7" xr:uid="{5B994DE1-5439-435F-A49E-310291E17ECA}"/>
    <hyperlink ref="J4" r:id="rId8" xr:uid="{0E195368-CAF0-4075-83AC-223CB0F10A0F}"/>
    <hyperlink ref="J9" r:id="rId9" xr:uid="{AB95EF9C-5491-4C82-9546-575CAAFCE1C2}"/>
    <hyperlink ref="J10" r:id="rId10" xr:uid="{9057487F-837D-44A8-BB79-EBC873C9BA65}"/>
    <hyperlink ref="J11" r:id="rId11" xr:uid="{03D743A0-1768-4650-AE92-6CA7A9C636CC}"/>
    <hyperlink ref="J12" r:id="rId12" xr:uid="{9FD9149A-AECD-41A0-9377-734560268B23}"/>
    <hyperlink ref="J13" r:id="rId13" xr:uid="{7D125456-1516-448E-9592-752797B738AE}"/>
    <hyperlink ref="J14" r:id="rId14" xr:uid="{A3EAE738-3E11-4B0A-9AF6-D993EDEA7714}"/>
    <hyperlink ref="J15" r:id="rId15" xr:uid="{44822BE2-FBF3-4DB8-BFC9-7A765F1F5EAE}"/>
    <hyperlink ref="J16" r:id="rId16" xr:uid="{47FFC482-BA29-42DE-9E63-F40C0C196871}"/>
    <hyperlink ref="J17" r:id="rId17" xr:uid="{C874E865-6C66-499E-9D4C-69084FA67CD7}"/>
    <hyperlink ref="J18" r:id="rId18" xr:uid="{B8562528-35AB-4CAF-9E22-856C3E815856}"/>
    <hyperlink ref="J19" r:id="rId19" xr:uid="{B44099BA-7A69-49BD-B4E3-95077D1DD0C8}"/>
    <hyperlink ref="J20" r:id="rId20" xr:uid="{46D2DC48-AAA9-4F1F-BFD7-A415F930356A}"/>
    <hyperlink ref="J21" r:id="rId21" xr:uid="{34C50FFB-205B-4520-9626-418BB061604C}"/>
    <hyperlink ref="J23" r:id="rId22" xr:uid="{FE42ABF5-CC90-44A6-9A61-ACA390F264F1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BOM_KPhang_Team201_EGR314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Chief Tomboy Appreciator</cp:lastModifiedBy>
  <dcterms:created xsi:type="dcterms:W3CDTF">2026-03-29T00:07:13Z</dcterms:created>
  <dcterms:modified xsi:type="dcterms:W3CDTF">2026-03-29T23:31:48Z</dcterms:modified>
</cp:coreProperties>
</file>